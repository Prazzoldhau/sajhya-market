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zzol\sajhya.com\static\exercises\brain\"/>
    </mc:Choice>
  </mc:AlternateContent>
  <xr:revisionPtr revIDLastSave="0" documentId="13_ncr:1_{5FE73C2D-BBE4-4206-9B71-EEF8C0C761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1" i="1"/>
  <c r="S2" i="1"/>
  <c r="S3" i="1"/>
  <c r="S4" i="1"/>
  <c r="S5" i="1"/>
  <c r="S6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1" i="1"/>
  <c r="Q2" i="1"/>
  <c r="Q1" i="1"/>
  <c r="M3" i="1"/>
  <c r="Q3" i="1" s="1"/>
  <c r="M2" i="1"/>
  <c r="M4" i="1" l="1"/>
  <c r="M5" i="1" l="1"/>
  <c r="Q4" i="1"/>
  <c r="M6" i="1" l="1"/>
  <c r="Q5" i="1"/>
  <c r="M7" i="1" l="1"/>
  <c r="Q6" i="1"/>
  <c r="M8" i="1" l="1"/>
  <c r="Q7" i="1"/>
  <c r="M9" i="1" l="1"/>
  <c r="Q8" i="1"/>
  <c r="M10" i="1" l="1"/>
  <c r="Q9" i="1"/>
  <c r="M11" i="1" l="1"/>
  <c r="Q10" i="1"/>
  <c r="M12" i="1" l="1"/>
  <c r="Q11" i="1"/>
  <c r="M13" i="1" l="1"/>
  <c r="Q12" i="1"/>
  <c r="M14" i="1" l="1"/>
  <c r="Q13" i="1"/>
  <c r="M15" i="1" l="1"/>
  <c r="Q14" i="1"/>
  <c r="M16" i="1" l="1"/>
  <c r="Q15" i="1"/>
  <c r="M17" i="1" l="1"/>
  <c r="Q16" i="1"/>
  <c r="M18" i="1" l="1"/>
  <c r="Q17" i="1"/>
  <c r="M19" i="1" l="1"/>
  <c r="Q18" i="1"/>
  <c r="M20" i="1" l="1"/>
  <c r="Q19" i="1"/>
  <c r="M21" i="1" l="1"/>
  <c r="Q20" i="1"/>
  <c r="M22" i="1" l="1"/>
  <c r="Q21" i="1"/>
  <c r="M23" i="1" l="1"/>
  <c r="Q22" i="1"/>
  <c r="M24" i="1" l="1"/>
  <c r="Q23" i="1"/>
  <c r="M25" i="1" l="1"/>
  <c r="Q24" i="1"/>
  <c r="M26" i="1" l="1"/>
  <c r="Q25" i="1"/>
  <c r="M27" i="1" l="1"/>
  <c r="Q26" i="1"/>
  <c r="M28" i="1" l="1"/>
  <c r="Q28" i="1" s="1"/>
  <c r="Q27" i="1"/>
</calcChain>
</file>

<file path=xl/sharedStrings.xml><?xml version="1.0" encoding="utf-8"?>
<sst xmlns="http://schemas.openxmlformats.org/spreadsheetml/2006/main" count="112" uniqueCount="58">
  <si>
    <t>/static/exercises/brain/arm positioning.png</t>
  </si>
  <si>
    <t>/static/exercises/brain/affected side down.png</t>
  </si>
  <si>
    <t>/static/exercises/brain/affected side up.png</t>
  </si>
  <si>
    <t>/static/exercises/brain/Ankle Dorsiflexion.png</t>
  </si>
  <si>
    <t>/static/exercises/brain/Ankle Eversion.png</t>
  </si>
  <si>
    <t>/static/exercises/brain/Ankle Plantar Flexion.png</t>
  </si>
  <si>
    <t>/static/exercises/brain/Diaphramatic Breathing.png</t>
  </si>
  <si>
    <t>/static/exercises/brain/heel slide.png</t>
  </si>
  <si>
    <t>/static/exercises/brain/limb positioning.png</t>
  </si>
  <si>
    <t>/static/exercises/brain/Passive Ankle Plantar Flexion.png</t>
  </si>
  <si>
    <t>/static/exercises/brain/Passive Elbow Flexion.png</t>
  </si>
  <si>
    <t>/static/exercises/brain/Passive Hip Flexion.png</t>
  </si>
  <si>
    <t>/static/exercises/brain/Passive Knee Flexion.png</t>
  </si>
  <si>
    <t>/static/exercises/brain/Passive Shoulder Extension.png</t>
  </si>
  <si>
    <t>/static/exercises/brain/Passive Shoulder Flexion.png</t>
  </si>
  <si>
    <t>/static/exercises/brain/Passive Wrist Extension.png</t>
  </si>
  <si>
    <t>/static/exercises/brain/Passive Wrist Flexion.png</t>
  </si>
  <si>
    <t>/static/exercises/brain/quad isometric.png</t>
  </si>
  <si>
    <t>/static/exercises/brain/supine pelvic tilt.png</t>
  </si>
  <si>
    <t>/static/exercises/brain/seated pelvic tilt.png</t>
  </si>
  <si>
    <t>/static/exercises/brain/seated scapular retraction.png</t>
  </si>
  <si>
    <t>/static/exercises/brain/seated trunk rotation.png</t>
  </si>
  <si>
    <t>/static/exercises/brain/seated weight shift antpost.png</t>
  </si>
  <si>
    <t>/static/exercises/brain/seated weight shift lateral.png</t>
  </si>
  <si>
    <t>/static/exercises/brain/supine arm slides.png</t>
  </si>
  <si>
    <t>/static/exercises/brain/supine positioning.png</t>
  </si>
  <si>
    <t>/static/exercises/brain/table top arm slide.png</t>
  </si>
  <si>
    <t>/static/exercises/brain/towel squeeze.png</t>
  </si>
  <si>
    <t>Passive Shoulder Flexion (Supine - Affected side)</t>
  </si>
  <si>
    <t>Passive Shoulder External Rotation (Supine)</t>
  </si>
  <si>
    <t>Passive Elbow Flexion/Extension (Affected side)</t>
  </si>
  <si>
    <t>Passive Forearm Pronation/Supination</t>
  </si>
  <si>
    <t>Passive Wrist Flexion/Extension (Affected side)</t>
  </si>
  <si>
    <t>Passive Finger Flexion/Extension</t>
  </si>
  <si>
    <t>Passive Thumb Abduction/Adduction</t>
  </si>
  <si>
    <t>Passive Hip Flexion (Supine - Affected side)</t>
  </si>
  <si>
    <t>Passive Hip Abduction/Adduction (Supine)</t>
  </si>
  <si>
    <t>Passive Knee Flexion/Extension (Supine)</t>
  </si>
  <si>
    <t>Passive Ankle Dorsiflexion/Plantarflexion</t>
  </si>
  <si>
    <t>Passive Ankle Inversion/Eversion</t>
  </si>
  <si>
    <t>Affected Limb Positioning (Pillow support)</t>
  </si>
  <si>
    <t>Sidelying Positioning (Affected side up)</t>
  </si>
  <si>
    <t>Sidelying Positioning (Affected side down)</t>
  </si>
  <si>
    <t>Supine Positioning (Neutral alignment)</t>
  </si>
  <si>
    <t>Deep Breathing (Diaphragmatic)</t>
  </si>
  <si>
    <t>Seated Supported Scapular Retraction</t>
  </si>
  <si>
    <t>Table Top Arm Slides (Affected side)</t>
  </si>
  <si>
    <t>Supine Arm Slides (Affected side)</t>
  </si>
  <si>
    <t>Supine Heel Slides (Affected side)</t>
  </si>
  <si>
    <t>Seated Weight Shifts (Lateral)</t>
  </si>
  <si>
    <t>Seated Weight Shifts (Anterior/Posterior)</t>
  </si>
  <si>
    <t>Seated Trunk Rotation (Arms crossed)</t>
  </si>
  <si>
    <t>Seated Pelvic Tilt</t>
  </si>
  <si>
    <t>Isometric Quadriceps Set (Affected side)</t>
  </si>
  <si>
    <t>Isometric Glute Set (Affected side)</t>
  </si>
  <si>
    <t>Towel Squeeze (Affected hand - Assisted)</t>
  </si>
  <si>
    <t>WHEN</t>
  </si>
  <si>
    <t>THEN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</si>
</sst>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topLeftCell="O11" workbookViewId="0">
      <selection activeCell="Y1" sqref="Y1:Y28"/>
    </sheetView>
  </sheetViews>
  <sheetFormatPr defaultRowHeight="14.5" x14ac:dyDescent="0.35"/>
  <sheetData>
    <row r="1" spans="1:25" x14ac:dyDescent="0.35">
      <c r="D1" s="1"/>
      <c r="G1" t="s">
        <v>14</v>
      </c>
      <c r="H1" t="s">
        <v>28</v>
      </c>
      <c r="M1">
        <v>2595</v>
      </c>
      <c r="P1" t="s">
        <v>56</v>
      </c>
      <c r="Q1">
        <f>M1</f>
        <v>2595</v>
      </c>
      <c r="R1" t="s">
        <v>57</v>
      </c>
      <c r="S1" t="str">
        <f>G1</f>
        <v>/static/exercises/brain/Passive Shoulder Flexion.png</v>
      </c>
      <c r="Y1" t="str">
        <f>""&amp;P1&amp;" "&amp;Q1&amp;" "&amp;R1&amp;" '"&amp;S1&amp;"'"</f>
        <v>WHEN 2595 THEN '/static/exercises/brain/Passive Shoulder Flexion.png'</v>
      </c>
    </row>
    <row r="2" spans="1:25" x14ac:dyDescent="0.35">
      <c r="D2" s="1"/>
      <c r="G2" t="s">
        <v>2</v>
      </c>
      <c r="H2" t="s">
        <v>29</v>
      </c>
      <c r="M2">
        <f>M1+1</f>
        <v>2596</v>
      </c>
      <c r="P2" t="s">
        <v>56</v>
      </c>
      <c r="Q2">
        <f t="shared" ref="Q2:Q28" si="0">M2</f>
        <v>2596</v>
      </c>
      <c r="R2" t="s">
        <v>57</v>
      </c>
      <c r="S2" t="str">
        <f t="shared" ref="S2:S28" si="1">G2</f>
        <v>/static/exercises/brain/affected side up.png</v>
      </c>
      <c r="Y2" t="str">
        <f t="shared" ref="Y2:Y28" si="2">""&amp;P2&amp;" "&amp;Q2&amp;" "&amp;R2&amp;" '"&amp;S2&amp;"'"</f>
        <v>WHEN 2596 THEN '/static/exercises/brain/affected side up.png'</v>
      </c>
    </row>
    <row r="3" spans="1:25" x14ac:dyDescent="0.35">
      <c r="D3" s="1"/>
      <c r="G3" t="s">
        <v>13</v>
      </c>
      <c r="H3" t="s">
        <v>30</v>
      </c>
      <c r="M3">
        <f t="shared" ref="M3:M28" si="3">M2+1</f>
        <v>2597</v>
      </c>
      <c r="P3" t="s">
        <v>56</v>
      </c>
      <c r="Q3">
        <f t="shared" si="0"/>
        <v>2597</v>
      </c>
      <c r="R3" t="s">
        <v>57</v>
      </c>
      <c r="S3" t="str">
        <f t="shared" si="1"/>
        <v>/static/exercises/brain/Passive Shoulder Extension.png</v>
      </c>
      <c r="Y3" t="str">
        <f t="shared" si="2"/>
        <v>WHEN 2597 THEN '/static/exercises/brain/Passive Shoulder Extension.png'</v>
      </c>
    </row>
    <row r="4" spans="1:25" x14ac:dyDescent="0.35">
      <c r="A4" t="s">
        <v>3</v>
      </c>
      <c r="D4" s="1"/>
      <c r="G4" t="s">
        <v>16</v>
      </c>
      <c r="H4" t="s">
        <v>31</v>
      </c>
      <c r="M4">
        <f t="shared" si="3"/>
        <v>2598</v>
      </c>
      <c r="P4" t="s">
        <v>56</v>
      </c>
      <c r="Q4">
        <f t="shared" si="0"/>
        <v>2598</v>
      </c>
      <c r="R4" t="s">
        <v>57</v>
      </c>
      <c r="S4" t="str">
        <f t="shared" si="1"/>
        <v>/static/exercises/brain/Passive Wrist Flexion.png</v>
      </c>
      <c r="Y4" t="str">
        <f t="shared" si="2"/>
        <v>WHEN 2598 THEN '/static/exercises/brain/Passive Wrist Flexion.png'</v>
      </c>
    </row>
    <row r="5" spans="1:25" x14ac:dyDescent="0.35">
      <c r="D5" s="1"/>
      <c r="G5" t="s">
        <v>15</v>
      </c>
      <c r="H5" t="s">
        <v>32</v>
      </c>
      <c r="M5">
        <f t="shared" si="3"/>
        <v>2599</v>
      </c>
      <c r="P5" t="s">
        <v>56</v>
      </c>
      <c r="Q5">
        <f t="shared" si="0"/>
        <v>2599</v>
      </c>
      <c r="R5" t="s">
        <v>57</v>
      </c>
      <c r="S5" t="str">
        <f t="shared" si="1"/>
        <v>/static/exercises/brain/Passive Wrist Extension.png</v>
      </c>
      <c r="Y5" t="str">
        <f t="shared" si="2"/>
        <v>WHEN 2599 THEN '/static/exercises/brain/Passive Wrist Extension.png'</v>
      </c>
    </row>
    <row r="6" spans="1:25" x14ac:dyDescent="0.35">
      <c r="A6" t="s">
        <v>5</v>
      </c>
      <c r="D6" s="1"/>
      <c r="G6" t="s">
        <v>10</v>
      </c>
      <c r="H6" t="s">
        <v>33</v>
      </c>
      <c r="M6">
        <f t="shared" si="3"/>
        <v>2600</v>
      </c>
      <c r="P6" t="s">
        <v>56</v>
      </c>
      <c r="Q6">
        <f t="shared" si="0"/>
        <v>2600</v>
      </c>
      <c r="R6" t="s">
        <v>57</v>
      </c>
      <c r="S6" t="str">
        <f t="shared" si="1"/>
        <v>/static/exercises/brain/Passive Elbow Flexion.png</v>
      </c>
      <c r="Y6" t="str">
        <f t="shared" si="2"/>
        <v>WHEN 2600 THEN '/static/exercises/brain/Passive Elbow Flexion.png'</v>
      </c>
    </row>
    <row r="7" spans="1:25" x14ac:dyDescent="0.35">
      <c r="D7" s="1"/>
      <c r="H7" t="s">
        <v>34</v>
      </c>
      <c r="M7">
        <f t="shared" si="3"/>
        <v>2601</v>
      </c>
      <c r="P7" t="s">
        <v>56</v>
      </c>
      <c r="Q7">
        <f t="shared" si="0"/>
        <v>2601</v>
      </c>
      <c r="R7" t="s">
        <v>57</v>
      </c>
      <c r="Y7" t="str">
        <f t="shared" si="2"/>
        <v>WHEN 2601 THEN ''</v>
      </c>
    </row>
    <row r="8" spans="1:25" x14ac:dyDescent="0.35">
      <c r="D8" s="1"/>
      <c r="G8" t="s">
        <v>11</v>
      </c>
      <c r="H8" t="s">
        <v>35</v>
      </c>
      <c r="M8">
        <f t="shared" si="3"/>
        <v>2602</v>
      </c>
      <c r="P8" t="s">
        <v>56</v>
      </c>
      <c r="Q8">
        <f t="shared" si="0"/>
        <v>2602</v>
      </c>
      <c r="R8" t="s">
        <v>57</v>
      </c>
      <c r="S8" t="str">
        <f t="shared" si="1"/>
        <v>/static/exercises/brain/Passive Hip Flexion.png</v>
      </c>
      <c r="Y8" t="str">
        <f t="shared" si="2"/>
        <v>WHEN 2602 THEN '/static/exercises/brain/Passive Hip Flexion.png'</v>
      </c>
    </row>
    <row r="9" spans="1:25" x14ac:dyDescent="0.35">
      <c r="D9" s="1"/>
      <c r="H9" t="s">
        <v>36</v>
      </c>
      <c r="M9">
        <f t="shared" si="3"/>
        <v>2603</v>
      </c>
      <c r="P9" t="s">
        <v>56</v>
      </c>
      <c r="Q9">
        <f t="shared" si="0"/>
        <v>2603</v>
      </c>
      <c r="R9" t="s">
        <v>57</v>
      </c>
      <c r="Y9" t="str">
        <f t="shared" si="2"/>
        <v>WHEN 2603 THEN ''</v>
      </c>
    </row>
    <row r="10" spans="1:25" x14ac:dyDescent="0.35">
      <c r="D10" s="1"/>
      <c r="G10" t="s">
        <v>12</v>
      </c>
      <c r="H10" t="s">
        <v>37</v>
      </c>
      <c r="M10">
        <f t="shared" si="3"/>
        <v>2604</v>
      </c>
      <c r="P10" t="s">
        <v>56</v>
      </c>
      <c r="Q10">
        <f t="shared" si="0"/>
        <v>2604</v>
      </c>
      <c r="R10" t="s">
        <v>57</v>
      </c>
      <c r="S10" t="str">
        <f t="shared" si="1"/>
        <v>/static/exercises/brain/Passive Knee Flexion.png</v>
      </c>
      <c r="Y10" t="str">
        <f t="shared" si="2"/>
        <v>WHEN 2604 THEN '/static/exercises/brain/Passive Knee Flexion.png'</v>
      </c>
    </row>
    <row r="11" spans="1:25" x14ac:dyDescent="0.35">
      <c r="D11" s="1"/>
      <c r="G11" t="s">
        <v>9</v>
      </c>
      <c r="H11" t="s">
        <v>38</v>
      </c>
      <c r="M11">
        <f t="shared" si="3"/>
        <v>2605</v>
      </c>
      <c r="P11" t="s">
        <v>56</v>
      </c>
      <c r="Q11">
        <f t="shared" si="0"/>
        <v>2605</v>
      </c>
      <c r="R11" t="s">
        <v>57</v>
      </c>
      <c r="S11" t="str">
        <f t="shared" si="1"/>
        <v>/static/exercises/brain/Passive Ankle Plantar Flexion.png</v>
      </c>
      <c r="Y11" t="str">
        <f t="shared" si="2"/>
        <v>WHEN 2605 THEN '/static/exercises/brain/Passive Ankle Plantar Flexion.png'</v>
      </c>
    </row>
    <row r="12" spans="1:25" x14ac:dyDescent="0.35">
      <c r="D12" s="1"/>
      <c r="G12" t="s">
        <v>4</v>
      </c>
      <c r="H12" t="s">
        <v>39</v>
      </c>
      <c r="M12">
        <f t="shared" si="3"/>
        <v>2606</v>
      </c>
      <c r="P12" t="s">
        <v>56</v>
      </c>
      <c r="Q12">
        <f t="shared" si="0"/>
        <v>2606</v>
      </c>
      <c r="R12" t="s">
        <v>57</v>
      </c>
      <c r="S12" t="str">
        <f t="shared" si="1"/>
        <v>/static/exercises/brain/Ankle Eversion.png</v>
      </c>
      <c r="Y12" t="str">
        <f t="shared" si="2"/>
        <v>WHEN 2606 THEN '/static/exercises/brain/Ankle Eversion.png'</v>
      </c>
    </row>
    <row r="13" spans="1:25" x14ac:dyDescent="0.35">
      <c r="D13" s="1"/>
      <c r="G13" t="s">
        <v>8</v>
      </c>
      <c r="H13" t="s">
        <v>40</v>
      </c>
      <c r="M13">
        <f t="shared" si="3"/>
        <v>2607</v>
      </c>
      <c r="P13" t="s">
        <v>56</v>
      </c>
      <c r="Q13">
        <f t="shared" si="0"/>
        <v>2607</v>
      </c>
      <c r="R13" t="s">
        <v>57</v>
      </c>
      <c r="S13" t="str">
        <f t="shared" si="1"/>
        <v>/static/exercises/brain/limb positioning.png</v>
      </c>
      <c r="Y13" t="str">
        <f t="shared" si="2"/>
        <v>WHEN 2607 THEN '/static/exercises/brain/limb positioning.png'</v>
      </c>
    </row>
    <row r="14" spans="1:25" x14ac:dyDescent="0.35">
      <c r="D14" s="1"/>
      <c r="G14" t="s">
        <v>0</v>
      </c>
      <c r="H14" t="s">
        <v>41</v>
      </c>
      <c r="M14">
        <f t="shared" si="3"/>
        <v>2608</v>
      </c>
      <c r="P14" t="s">
        <v>56</v>
      </c>
      <c r="Q14">
        <f t="shared" si="0"/>
        <v>2608</v>
      </c>
      <c r="R14" t="s">
        <v>57</v>
      </c>
      <c r="S14" t="str">
        <f t="shared" si="1"/>
        <v>/static/exercises/brain/arm positioning.png</v>
      </c>
      <c r="Y14" t="str">
        <f t="shared" si="2"/>
        <v>WHEN 2608 THEN '/static/exercises/brain/arm positioning.png'</v>
      </c>
    </row>
    <row r="15" spans="1:25" x14ac:dyDescent="0.35">
      <c r="D15" s="1"/>
      <c r="G15" t="s">
        <v>1</v>
      </c>
      <c r="H15" t="s">
        <v>42</v>
      </c>
      <c r="M15">
        <f t="shared" si="3"/>
        <v>2609</v>
      </c>
      <c r="P15" t="s">
        <v>56</v>
      </c>
      <c r="Q15">
        <f t="shared" si="0"/>
        <v>2609</v>
      </c>
      <c r="R15" t="s">
        <v>57</v>
      </c>
      <c r="S15" t="str">
        <f t="shared" si="1"/>
        <v>/static/exercises/brain/affected side down.png</v>
      </c>
      <c r="Y15" t="str">
        <f t="shared" si="2"/>
        <v>WHEN 2609 THEN '/static/exercises/brain/affected side down.png'</v>
      </c>
    </row>
    <row r="16" spans="1:25" x14ac:dyDescent="0.35">
      <c r="D16" s="1"/>
      <c r="G16" t="s">
        <v>25</v>
      </c>
      <c r="H16" t="s">
        <v>43</v>
      </c>
      <c r="M16">
        <f t="shared" si="3"/>
        <v>2610</v>
      </c>
      <c r="P16" t="s">
        <v>56</v>
      </c>
      <c r="Q16">
        <f t="shared" si="0"/>
        <v>2610</v>
      </c>
      <c r="R16" t="s">
        <v>57</v>
      </c>
      <c r="S16" t="str">
        <f t="shared" si="1"/>
        <v>/static/exercises/brain/supine positioning.png</v>
      </c>
      <c r="Y16" t="str">
        <f t="shared" si="2"/>
        <v>WHEN 2610 THEN '/static/exercises/brain/supine positioning.png'</v>
      </c>
    </row>
    <row r="17" spans="4:25" x14ac:dyDescent="0.35">
      <c r="D17" s="1"/>
      <c r="G17" t="s">
        <v>6</v>
      </c>
      <c r="H17" t="s">
        <v>44</v>
      </c>
      <c r="M17">
        <f t="shared" si="3"/>
        <v>2611</v>
      </c>
      <c r="P17" t="s">
        <v>56</v>
      </c>
      <c r="Q17">
        <f t="shared" si="0"/>
        <v>2611</v>
      </c>
      <c r="R17" t="s">
        <v>57</v>
      </c>
      <c r="S17" t="str">
        <f t="shared" si="1"/>
        <v>/static/exercises/brain/Diaphramatic Breathing.png</v>
      </c>
      <c r="Y17" t="str">
        <f t="shared" si="2"/>
        <v>WHEN 2611 THEN '/static/exercises/brain/Diaphramatic Breathing.png'</v>
      </c>
    </row>
    <row r="18" spans="4:25" x14ac:dyDescent="0.35">
      <c r="D18" s="1"/>
      <c r="G18" t="s">
        <v>20</v>
      </c>
      <c r="H18" t="s">
        <v>45</v>
      </c>
      <c r="M18">
        <f t="shared" si="3"/>
        <v>2612</v>
      </c>
      <c r="P18" t="s">
        <v>56</v>
      </c>
      <c r="Q18">
        <f t="shared" si="0"/>
        <v>2612</v>
      </c>
      <c r="R18" t="s">
        <v>57</v>
      </c>
      <c r="S18" t="str">
        <f t="shared" si="1"/>
        <v>/static/exercises/brain/seated scapular retraction.png</v>
      </c>
      <c r="Y18" t="str">
        <f t="shared" si="2"/>
        <v>WHEN 2612 THEN '/static/exercises/brain/seated scapular retraction.png'</v>
      </c>
    </row>
    <row r="19" spans="4:25" x14ac:dyDescent="0.35">
      <c r="D19" s="1"/>
      <c r="G19" t="s">
        <v>26</v>
      </c>
      <c r="H19" t="s">
        <v>46</v>
      </c>
      <c r="M19">
        <f t="shared" si="3"/>
        <v>2613</v>
      </c>
      <c r="P19" t="s">
        <v>56</v>
      </c>
      <c r="Q19">
        <f t="shared" si="0"/>
        <v>2613</v>
      </c>
      <c r="R19" t="s">
        <v>57</v>
      </c>
      <c r="S19" t="str">
        <f t="shared" si="1"/>
        <v>/static/exercises/brain/table top arm slide.png</v>
      </c>
      <c r="Y19" t="str">
        <f t="shared" si="2"/>
        <v>WHEN 2613 THEN '/static/exercises/brain/table top arm slide.png'</v>
      </c>
    </row>
    <row r="20" spans="4:25" x14ac:dyDescent="0.35">
      <c r="D20" s="1"/>
      <c r="G20" t="s">
        <v>24</v>
      </c>
      <c r="H20" t="s">
        <v>47</v>
      </c>
      <c r="M20">
        <f t="shared" si="3"/>
        <v>2614</v>
      </c>
      <c r="P20" t="s">
        <v>56</v>
      </c>
      <c r="Q20">
        <f t="shared" si="0"/>
        <v>2614</v>
      </c>
      <c r="R20" t="s">
        <v>57</v>
      </c>
      <c r="S20" t="str">
        <f t="shared" si="1"/>
        <v>/static/exercises/brain/supine arm slides.png</v>
      </c>
      <c r="Y20" t="str">
        <f t="shared" si="2"/>
        <v>WHEN 2614 THEN '/static/exercises/brain/supine arm slides.png'</v>
      </c>
    </row>
    <row r="21" spans="4:25" x14ac:dyDescent="0.35">
      <c r="D21" s="1"/>
      <c r="G21" t="s">
        <v>7</v>
      </c>
      <c r="H21" t="s">
        <v>48</v>
      </c>
      <c r="M21">
        <f t="shared" si="3"/>
        <v>2615</v>
      </c>
      <c r="P21" t="s">
        <v>56</v>
      </c>
      <c r="Q21">
        <f t="shared" si="0"/>
        <v>2615</v>
      </c>
      <c r="R21" t="s">
        <v>57</v>
      </c>
      <c r="S21" t="str">
        <f t="shared" si="1"/>
        <v>/static/exercises/brain/heel slide.png</v>
      </c>
      <c r="Y21" t="str">
        <f t="shared" si="2"/>
        <v>WHEN 2615 THEN '/static/exercises/brain/heel slide.png'</v>
      </c>
    </row>
    <row r="22" spans="4:25" x14ac:dyDescent="0.35">
      <c r="D22" s="1"/>
      <c r="G22" t="s">
        <v>23</v>
      </c>
      <c r="H22" t="s">
        <v>49</v>
      </c>
      <c r="M22">
        <f t="shared" si="3"/>
        <v>2616</v>
      </c>
      <c r="P22" t="s">
        <v>56</v>
      </c>
      <c r="Q22">
        <f t="shared" si="0"/>
        <v>2616</v>
      </c>
      <c r="R22" t="s">
        <v>57</v>
      </c>
      <c r="S22" t="str">
        <f t="shared" si="1"/>
        <v>/static/exercises/brain/seated weight shift lateral.png</v>
      </c>
      <c r="Y22" t="str">
        <f t="shared" si="2"/>
        <v>WHEN 2616 THEN '/static/exercises/brain/seated weight shift lateral.png'</v>
      </c>
    </row>
    <row r="23" spans="4:25" x14ac:dyDescent="0.35">
      <c r="D23" s="1"/>
      <c r="G23" t="s">
        <v>22</v>
      </c>
      <c r="H23" t="s">
        <v>50</v>
      </c>
      <c r="M23">
        <f t="shared" si="3"/>
        <v>2617</v>
      </c>
      <c r="P23" t="s">
        <v>56</v>
      </c>
      <c r="Q23">
        <f t="shared" si="0"/>
        <v>2617</v>
      </c>
      <c r="R23" t="s">
        <v>57</v>
      </c>
      <c r="S23" t="str">
        <f t="shared" si="1"/>
        <v>/static/exercises/brain/seated weight shift antpost.png</v>
      </c>
      <c r="Y23" t="str">
        <f t="shared" si="2"/>
        <v>WHEN 2617 THEN '/static/exercises/brain/seated weight shift antpost.png'</v>
      </c>
    </row>
    <row r="24" spans="4:25" x14ac:dyDescent="0.35">
      <c r="D24" s="1"/>
      <c r="G24" t="s">
        <v>21</v>
      </c>
      <c r="H24" t="s">
        <v>51</v>
      </c>
      <c r="M24">
        <f t="shared" si="3"/>
        <v>2618</v>
      </c>
      <c r="P24" t="s">
        <v>56</v>
      </c>
      <c r="Q24">
        <f t="shared" si="0"/>
        <v>2618</v>
      </c>
      <c r="R24" t="s">
        <v>57</v>
      </c>
      <c r="S24" t="str">
        <f t="shared" si="1"/>
        <v>/static/exercises/brain/seated trunk rotation.png</v>
      </c>
      <c r="Y24" t="str">
        <f t="shared" si="2"/>
        <v>WHEN 2618 THEN '/static/exercises/brain/seated trunk rotation.png'</v>
      </c>
    </row>
    <row r="25" spans="4:25" x14ac:dyDescent="0.35">
      <c r="D25" s="1"/>
      <c r="G25" t="s">
        <v>19</v>
      </c>
      <c r="H25" t="s">
        <v>52</v>
      </c>
      <c r="M25">
        <f t="shared" si="3"/>
        <v>2619</v>
      </c>
      <c r="P25" t="s">
        <v>56</v>
      </c>
      <c r="Q25">
        <f t="shared" si="0"/>
        <v>2619</v>
      </c>
      <c r="R25" t="s">
        <v>57</v>
      </c>
      <c r="S25" t="str">
        <f t="shared" si="1"/>
        <v>/static/exercises/brain/seated pelvic tilt.png</v>
      </c>
      <c r="Y25" t="str">
        <f t="shared" si="2"/>
        <v>WHEN 2619 THEN '/static/exercises/brain/seated pelvic tilt.png'</v>
      </c>
    </row>
    <row r="26" spans="4:25" x14ac:dyDescent="0.35">
      <c r="D26" s="1"/>
      <c r="G26" t="s">
        <v>17</v>
      </c>
      <c r="H26" t="s">
        <v>53</v>
      </c>
      <c r="M26">
        <f t="shared" si="3"/>
        <v>2620</v>
      </c>
      <c r="P26" t="s">
        <v>56</v>
      </c>
      <c r="Q26">
        <f t="shared" si="0"/>
        <v>2620</v>
      </c>
      <c r="R26" t="s">
        <v>57</v>
      </c>
      <c r="S26" t="str">
        <f t="shared" si="1"/>
        <v>/static/exercises/brain/quad isometric.png</v>
      </c>
      <c r="Y26" t="str">
        <f t="shared" si="2"/>
        <v>WHEN 2620 THEN '/static/exercises/brain/quad isometric.png'</v>
      </c>
    </row>
    <row r="27" spans="4:25" x14ac:dyDescent="0.35">
      <c r="D27" s="1"/>
      <c r="G27" t="s">
        <v>18</v>
      </c>
      <c r="H27" t="s">
        <v>54</v>
      </c>
      <c r="M27">
        <f t="shared" si="3"/>
        <v>2621</v>
      </c>
      <c r="P27" t="s">
        <v>56</v>
      </c>
      <c r="Q27">
        <f t="shared" si="0"/>
        <v>2621</v>
      </c>
      <c r="R27" t="s">
        <v>57</v>
      </c>
      <c r="S27" t="str">
        <f t="shared" si="1"/>
        <v>/static/exercises/brain/supine pelvic tilt.png</v>
      </c>
      <c r="Y27" t="str">
        <f t="shared" si="2"/>
        <v>WHEN 2621 THEN '/static/exercises/brain/supine pelvic tilt.png'</v>
      </c>
    </row>
    <row r="28" spans="4:25" x14ac:dyDescent="0.35">
      <c r="D28" s="1"/>
      <c r="G28" t="s">
        <v>27</v>
      </c>
      <c r="H28" t="s">
        <v>55</v>
      </c>
      <c r="M28">
        <f t="shared" si="3"/>
        <v>2622</v>
      </c>
      <c r="P28" t="s">
        <v>56</v>
      </c>
      <c r="Q28">
        <f t="shared" si="0"/>
        <v>2622</v>
      </c>
      <c r="R28" t="s">
        <v>57</v>
      </c>
      <c r="S28" t="str">
        <f t="shared" si="1"/>
        <v>/static/exercises/brain/towel squeeze.png</v>
      </c>
      <c r="Y28" t="str">
        <f t="shared" si="2"/>
        <v>WHEN 2622 THEN '/static/exercises/brain/towel squeeze.png'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Prazzol</dc:creator>
  <cp:lastModifiedBy>Prazzol</cp:lastModifiedBy>
  <dcterms:created xsi:type="dcterms:W3CDTF">2015-06-05T18:17:20Z</dcterms:created>
  <dcterms:modified xsi:type="dcterms:W3CDTF">2026-06-26T15:27:09Z</dcterms:modified>
</cp:coreProperties>
</file>